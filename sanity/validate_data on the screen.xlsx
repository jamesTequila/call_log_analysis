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Python Code\Tequila\southside\antigravity\sanity\"/>
    </mc:Choice>
  </mc:AlternateContent>
  <xr:revisionPtr revIDLastSave="0" documentId="13_ncr:1_{D939527D-9984-4088-BF3A-4EF9E726557E}" xr6:coauthVersionLast="47" xr6:coauthVersionMax="47" xr10:uidLastSave="{00000000-0000-0000-0000-000000000000}"/>
  <bookViews>
    <workbookView xWindow="-120" yWindow="-120" windowWidth="29040" windowHeight="15720" activeTab="1" xr2:uid="{F508E51E-EA12-47C1-9E76-9E9D23F8A8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2" l="1"/>
  <c r="P20" i="2"/>
  <c r="L20" i="2"/>
  <c r="F25" i="2"/>
  <c r="E25" i="2"/>
  <c r="C25" i="2"/>
  <c r="B25" i="2"/>
  <c r="G24" i="2"/>
  <c r="D24" i="2"/>
  <c r="G23" i="2"/>
  <c r="D23" i="2"/>
  <c r="G22" i="2"/>
  <c r="D22" i="2"/>
  <c r="G21" i="2"/>
  <c r="D21" i="2"/>
  <c r="G20" i="2"/>
  <c r="D20" i="2"/>
  <c r="G19" i="2"/>
  <c r="D19" i="2"/>
  <c r="Q18" i="2"/>
  <c r="G18" i="2"/>
  <c r="D18" i="2"/>
  <c r="L8" i="2"/>
  <c r="P6" i="2"/>
  <c r="L6" i="2"/>
  <c r="M5" i="2"/>
  <c r="Q4" i="2"/>
  <c r="M4" i="2"/>
  <c r="F11" i="2"/>
  <c r="E11" i="2"/>
  <c r="C11" i="2"/>
  <c r="B11" i="2"/>
  <c r="G10" i="2"/>
  <c r="G9" i="2"/>
  <c r="G8" i="2"/>
  <c r="G7" i="2"/>
  <c r="G6" i="2"/>
  <c r="D10" i="2"/>
  <c r="D9" i="2"/>
  <c r="D8" i="2"/>
  <c r="D7" i="2"/>
  <c r="D6" i="2"/>
  <c r="G5" i="2"/>
  <c r="D5" i="2"/>
  <c r="G4" i="2"/>
  <c r="D4" i="2"/>
  <c r="B5" i="1"/>
  <c r="Q2" i="1"/>
  <c r="N2" i="1"/>
  <c r="E2" i="1"/>
  <c r="K2" i="1"/>
  <c r="H2" i="1"/>
  <c r="G25" i="2" l="1"/>
  <c r="H25" i="2" s="1"/>
  <c r="M19" i="2"/>
  <c r="D25" i="2"/>
  <c r="D26" i="2" s="1"/>
  <c r="D11" i="2"/>
  <c r="G11" i="2"/>
</calcChain>
</file>

<file path=xl/sharedStrings.xml><?xml version="1.0" encoding="utf-8"?>
<sst xmlns="http://schemas.openxmlformats.org/spreadsheetml/2006/main" count="67" uniqueCount="33">
  <si>
    <t>date</t>
  </si>
  <si>
    <t>top-total calls</t>
  </si>
  <si>
    <t>top-this week volume</t>
  </si>
  <si>
    <t>top last week volume</t>
  </si>
  <si>
    <t>top-this week trade</t>
  </si>
  <si>
    <t>top-last week trade</t>
  </si>
  <si>
    <t>top this week retail</t>
  </si>
  <si>
    <t>top-last week retail</t>
  </si>
  <si>
    <t>total this week retail</t>
  </si>
  <si>
    <t>total this week trade</t>
  </si>
  <si>
    <t>total volume</t>
  </si>
  <si>
    <t>executive summary this week retail</t>
  </si>
  <si>
    <t>executive summary this week trade</t>
  </si>
  <si>
    <t>executive summary this week total</t>
  </si>
  <si>
    <t>executive summary last week retail</t>
  </si>
  <si>
    <t>executive summary last week trade</t>
  </si>
  <si>
    <t>executive summary last week total</t>
  </si>
  <si>
    <t>Tuesday</t>
  </si>
  <si>
    <t>Monday</t>
  </si>
  <si>
    <t>Wednesday</t>
  </si>
  <si>
    <t>Thursday</t>
  </si>
  <si>
    <t>Friday</t>
  </si>
  <si>
    <t>Saturday</t>
  </si>
  <si>
    <t>Sunday</t>
  </si>
  <si>
    <t>This week</t>
  </si>
  <si>
    <t>last week</t>
  </si>
  <si>
    <t>abandoned</t>
  </si>
  <si>
    <t>answered</t>
  </si>
  <si>
    <t>total</t>
  </si>
  <si>
    <t xml:space="preserve">retail </t>
  </si>
  <si>
    <t>trade</t>
  </si>
  <si>
    <t>total this week calls</t>
  </si>
  <si>
    <t>total last week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</si>
</sst>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EF52-6671-4D7E-BE42-567AA2CF49B1}">
  <dimension ref="A1:Q5"/>
  <sheetViews>
    <sheetView topLeftCell="C1" workbookViewId="0">
      <selection activeCell="L2" sqref="L2"/>
    </sheetView>
  </sheetViews>
  <sheetFormatPr defaultRowHeight="15" x14ac:dyDescent="0.25"/>
  <cols>
    <col min="1" max="1" width="10.42578125" bestFit="1" customWidth="1"/>
    <col min="2" max="2" width="13.42578125" bestFit="1" customWidth="1"/>
    <col min="3" max="3" width="19.85546875" bestFit="1" customWidth="1"/>
    <col min="4" max="4" width="19.5703125" bestFit="1" customWidth="1"/>
    <col min="5" max="5" width="19.5703125" customWidth="1"/>
    <col min="6" max="7" width="18" bestFit="1" customWidth="1"/>
    <col min="8" max="8" width="17.7109375" bestFit="1" customWidth="1"/>
    <col min="9" max="9" width="18" bestFit="1" customWidth="1"/>
    <col min="11" max="11" width="18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6</v>
      </c>
      <c r="H1" t="s">
        <v>8</v>
      </c>
      <c r="I1" t="s">
        <v>7</v>
      </c>
      <c r="J1" t="s">
        <v>5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45991</v>
      </c>
      <c r="B2">
        <v>4809</v>
      </c>
      <c r="C2">
        <v>2374</v>
      </c>
      <c r="D2">
        <v>2435</v>
      </c>
      <c r="E2">
        <f>SUM(C2:D2)</f>
        <v>4809</v>
      </c>
      <c r="F2">
        <v>398</v>
      </c>
      <c r="G2">
        <v>1976</v>
      </c>
      <c r="H2">
        <f>SUM(F2:G2)</f>
        <v>2374</v>
      </c>
      <c r="I2">
        <v>1934</v>
      </c>
      <c r="J2">
        <v>501</v>
      </c>
      <c r="K2">
        <f>SUM(I2:J2)</f>
        <v>2435</v>
      </c>
      <c r="L2">
        <v>1976</v>
      </c>
      <c r="M2">
        <v>398</v>
      </c>
      <c r="N2">
        <f>SUM(L2:M2)</f>
        <v>2374</v>
      </c>
      <c r="O2">
        <v>1927</v>
      </c>
      <c r="P2">
        <v>501</v>
      </c>
      <c r="Q2">
        <f>SUM(O2:P2)</f>
        <v>2428</v>
      </c>
    </row>
    <row r="5" spans="1:17" x14ac:dyDescent="0.25">
      <c r="B5">
        <f>294+15</f>
        <v>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36A5-6C4E-429A-A9B8-6B432771418E}">
  <dimension ref="A1:Q26"/>
  <sheetViews>
    <sheetView tabSelected="1" workbookViewId="0">
      <selection activeCell="B29" sqref="B29"/>
    </sheetView>
  </sheetViews>
  <sheetFormatPr defaultRowHeight="15" x14ac:dyDescent="0.25"/>
  <cols>
    <col min="1" max="2" width="11.140625" bestFit="1" customWidth="1"/>
    <col min="3" max="3" width="9.5703125" bestFit="1" customWidth="1"/>
    <col min="5" max="5" width="11.140625" bestFit="1" customWidth="1"/>
    <col min="6" max="6" width="9.5703125" bestFit="1" customWidth="1"/>
    <col min="12" max="12" width="11.140625" bestFit="1" customWidth="1"/>
    <col min="13" max="13" width="18.5703125" bestFit="1" customWidth="1"/>
    <col min="14" max="14" width="9.7109375" customWidth="1"/>
    <col min="16" max="16" width="11.140625" bestFit="1" customWidth="1"/>
    <col min="17" max="17" width="18.5703125" bestFit="1" customWidth="1"/>
  </cols>
  <sheetData>
    <row r="1" spans="1:17" x14ac:dyDescent="0.25">
      <c r="A1" s="1">
        <v>45991</v>
      </c>
    </row>
    <row r="2" spans="1:17" x14ac:dyDescent="0.25">
      <c r="A2" s="2"/>
      <c r="B2" s="3" t="s">
        <v>24</v>
      </c>
      <c r="C2" s="3"/>
      <c r="D2" s="3"/>
      <c r="E2" s="3" t="s">
        <v>25</v>
      </c>
      <c r="F2" s="3"/>
      <c r="G2" s="3"/>
      <c r="J2" s="3" t="s">
        <v>24</v>
      </c>
      <c r="K2" s="3"/>
      <c r="L2" s="3"/>
      <c r="M2" s="3"/>
      <c r="N2" s="3" t="s">
        <v>25</v>
      </c>
      <c r="O2" s="3"/>
      <c r="P2" s="3"/>
      <c r="Q2" s="3"/>
    </row>
    <row r="3" spans="1:17" x14ac:dyDescent="0.25">
      <c r="A3" s="2"/>
      <c r="B3" s="2" t="s">
        <v>26</v>
      </c>
      <c r="C3" s="2" t="s">
        <v>27</v>
      </c>
      <c r="D3" s="2" t="s">
        <v>28</v>
      </c>
      <c r="E3" s="2" t="s">
        <v>26</v>
      </c>
      <c r="F3" s="2" t="s">
        <v>27</v>
      </c>
      <c r="G3" s="2" t="s">
        <v>28</v>
      </c>
      <c r="J3" s="2" t="s">
        <v>29</v>
      </c>
      <c r="K3" s="2" t="s">
        <v>30</v>
      </c>
      <c r="L3" s="2" t="s">
        <v>26</v>
      </c>
      <c r="M3" s="2" t="s">
        <v>31</v>
      </c>
      <c r="N3" s="2" t="s">
        <v>29</v>
      </c>
      <c r="O3" s="2" t="s">
        <v>30</v>
      </c>
      <c r="P3" s="2" t="s">
        <v>26</v>
      </c>
      <c r="Q3" s="2" t="s">
        <v>32</v>
      </c>
    </row>
    <row r="4" spans="1:17" x14ac:dyDescent="0.25">
      <c r="A4" s="2" t="s">
        <v>18</v>
      </c>
      <c r="B4" s="2">
        <v>19</v>
      </c>
      <c r="C4" s="2">
        <v>356</v>
      </c>
      <c r="D4" s="2">
        <f>SUM(B4:C4)</f>
        <v>375</v>
      </c>
      <c r="E4" s="2">
        <v>17</v>
      </c>
      <c r="F4" s="2">
        <v>385</v>
      </c>
      <c r="G4" s="2">
        <f>SUM(E4:F4)</f>
        <v>402</v>
      </c>
      <c r="J4" s="2">
        <v>1680</v>
      </c>
      <c r="K4" s="2">
        <v>489</v>
      </c>
      <c r="L4" s="2">
        <v>309</v>
      </c>
      <c r="M4" s="2">
        <f>SUM(J4:L4)</f>
        <v>2478</v>
      </c>
      <c r="N4" s="2">
        <v>1682</v>
      </c>
      <c r="O4" s="2">
        <v>383</v>
      </c>
      <c r="P4" s="2">
        <v>266</v>
      </c>
      <c r="Q4" s="2">
        <f>SUM(N4:P4)</f>
        <v>2331</v>
      </c>
    </row>
    <row r="5" spans="1:17" x14ac:dyDescent="0.25">
      <c r="A5" s="2" t="s">
        <v>17</v>
      </c>
      <c r="B5" s="2">
        <v>20</v>
      </c>
      <c r="C5" s="2">
        <v>319</v>
      </c>
      <c r="D5" s="2">
        <f>SUM(B5:C5)</f>
        <v>339</v>
      </c>
      <c r="E5" s="2">
        <v>18</v>
      </c>
      <c r="F5" s="2">
        <v>324</v>
      </c>
      <c r="G5" s="2">
        <f>SUM(E5:F5)</f>
        <v>342</v>
      </c>
      <c r="K5">
        <v>294</v>
      </c>
      <c r="L5">
        <v>15</v>
      </c>
      <c r="M5">
        <f>SUM(M4,Q4)</f>
        <v>4809</v>
      </c>
      <c r="O5">
        <v>254</v>
      </c>
      <c r="P5">
        <v>12</v>
      </c>
    </row>
    <row r="6" spans="1:17" x14ac:dyDescent="0.25">
      <c r="A6" s="2" t="s">
        <v>19</v>
      </c>
      <c r="B6" s="2">
        <v>24</v>
      </c>
      <c r="C6" s="2">
        <v>324</v>
      </c>
      <c r="D6" s="2">
        <f t="shared" ref="D6:D10" si="0">SUM(B6:C6)</f>
        <v>348</v>
      </c>
      <c r="E6" s="2">
        <v>26</v>
      </c>
      <c r="F6" s="2">
        <v>305</v>
      </c>
      <c r="G6" s="2">
        <f t="shared" ref="G6:G10" si="1">SUM(E6:F6)</f>
        <v>331</v>
      </c>
      <c r="L6">
        <f>SUM(K5:L5)</f>
        <v>309</v>
      </c>
      <c r="P6">
        <f>SUM(O5:P5)</f>
        <v>266</v>
      </c>
    </row>
    <row r="7" spans="1:17" x14ac:dyDescent="0.25">
      <c r="A7" s="2" t="s">
        <v>20</v>
      </c>
      <c r="B7" s="2">
        <v>22</v>
      </c>
      <c r="C7" s="2">
        <v>366</v>
      </c>
      <c r="D7" s="2">
        <f t="shared" si="0"/>
        <v>388</v>
      </c>
      <c r="E7" s="2">
        <v>38</v>
      </c>
      <c r="F7" s="2">
        <v>293</v>
      </c>
      <c r="G7" s="2">
        <f t="shared" si="1"/>
        <v>331</v>
      </c>
    </row>
    <row r="8" spans="1:17" x14ac:dyDescent="0.25">
      <c r="A8" s="2" t="s">
        <v>21</v>
      </c>
      <c r="B8" s="2">
        <v>21</v>
      </c>
      <c r="C8" s="2">
        <v>372</v>
      </c>
      <c r="D8" s="2">
        <f t="shared" si="0"/>
        <v>393</v>
      </c>
      <c r="E8" s="2">
        <v>26</v>
      </c>
      <c r="F8" s="2">
        <v>322</v>
      </c>
      <c r="G8" s="2">
        <f t="shared" si="1"/>
        <v>348</v>
      </c>
      <c r="L8">
        <f>SUM(J4:K4)</f>
        <v>2169</v>
      </c>
    </row>
    <row r="9" spans="1:17" x14ac:dyDescent="0.25">
      <c r="A9" s="2" t="s">
        <v>22</v>
      </c>
      <c r="B9" s="2">
        <v>179</v>
      </c>
      <c r="C9" s="2">
        <v>277</v>
      </c>
      <c r="D9" s="2">
        <f t="shared" si="0"/>
        <v>456</v>
      </c>
      <c r="E9" s="2">
        <v>129</v>
      </c>
      <c r="F9" s="2">
        <v>274</v>
      </c>
      <c r="G9" s="2">
        <f t="shared" si="1"/>
        <v>403</v>
      </c>
    </row>
    <row r="10" spans="1:17" x14ac:dyDescent="0.25">
      <c r="A10" s="2" t="s">
        <v>23</v>
      </c>
      <c r="B10" s="2">
        <v>24</v>
      </c>
      <c r="C10" s="2">
        <v>132</v>
      </c>
      <c r="D10" s="2">
        <f t="shared" si="0"/>
        <v>156</v>
      </c>
      <c r="E10" s="2">
        <v>12</v>
      </c>
      <c r="F10" s="2">
        <v>146</v>
      </c>
      <c r="G10" s="2">
        <f t="shared" si="1"/>
        <v>158</v>
      </c>
    </row>
    <row r="11" spans="1:17" x14ac:dyDescent="0.25">
      <c r="A11" s="2"/>
      <c r="B11" s="2">
        <f t="shared" ref="B11:G11" si="2">SUM(B4:B10)</f>
        <v>309</v>
      </c>
      <c r="C11" s="2">
        <f t="shared" si="2"/>
        <v>2146</v>
      </c>
      <c r="D11" s="2">
        <f t="shared" si="2"/>
        <v>2455</v>
      </c>
      <c r="E11" s="2">
        <f t="shared" si="2"/>
        <v>266</v>
      </c>
      <c r="F11" s="2">
        <f t="shared" si="2"/>
        <v>2049</v>
      </c>
      <c r="G11" s="2">
        <f t="shared" si="2"/>
        <v>2315</v>
      </c>
    </row>
    <row r="15" spans="1:17" x14ac:dyDescent="0.25">
      <c r="A15" s="1">
        <v>45998</v>
      </c>
    </row>
    <row r="16" spans="1:17" x14ac:dyDescent="0.25">
      <c r="A16" s="2"/>
      <c r="B16" s="3" t="s">
        <v>24</v>
      </c>
      <c r="C16" s="3"/>
      <c r="D16" s="3"/>
      <c r="E16" s="3" t="s">
        <v>25</v>
      </c>
      <c r="F16" s="3"/>
      <c r="G16" s="3"/>
      <c r="J16" s="3" t="s">
        <v>24</v>
      </c>
      <c r="K16" s="3"/>
      <c r="L16" s="3"/>
      <c r="M16" s="3"/>
      <c r="N16" s="3" t="s">
        <v>25</v>
      </c>
      <c r="O16" s="3"/>
      <c r="P16" s="3"/>
      <c r="Q16" s="3"/>
    </row>
    <row r="17" spans="1:17" x14ac:dyDescent="0.25">
      <c r="A17" s="2"/>
      <c r="B17" s="2" t="s">
        <v>26</v>
      </c>
      <c r="C17" s="2" t="s">
        <v>27</v>
      </c>
      <c r="D17" s="2" t="s">
        <v>28</v>
      </c>
      <c r="E17" s="2" t="s">
        <v>26</v>
      </c>
      <c r="F17" s="2" t="s">
        <v>27</v>
      </c>
      <c r="G17" s="2" t="s">
        <v>28</v>
      </c>
      <c r="J17" s="2" t="s">
        <v>29</v>
      </c>
      <c r="K17" s="2" t="s">
        <v>30</v>
      </c>
      <c r="L17" s="2" t="s">
        <v>26</v>
      </c>
      <c r="M17" s="2" t="s">
        <v>31</v>
      </c>
      <c r="N17" s="2" t="s">
        <v>29</v>
      </c>
      <c r="O17" s="2" t="s">
        <v>30</v>
      </c>
      <c r="P17" s="2" t="s">
        <v>26</v>
      </c>
      <c r="Q17" s="2" t="s">
        <v>32</v>
      </c>
    </row>
    <row r="18" spans="1:17" x14ac:dyDescent="0.25">
      <c r="A18" s="2" t="s">
        <v>18</v>
      </c>
      <c r="B18" s="2">
        <v>15</v>
      </c>
      <c r="C18" s="2">
        <v>385</v>
      </c>
      <c r="D18" s="2">
        <f>SUM(B18:C18)</f>
        <v>400</v>
      </c>
      <c r="E18" s="2">
        <v>21</v>
      </c>
      <c r="F18" s="2">
        <v>287</v>
      </c>
      <c r="G18" s="2">
        <f>SUM(E18:F18)</f>
        <v>308</v>
      </c>
      <c r="J18" s="2">
        <v>1677</v>
      </c>
      <c r="K18" s="2">
        <v>383</v>
      </c>
      <c r="L18" s="2">
        <v>220</v>
      </c>
      <c r="M18" s="2">
        <f>SUM(J18:L18)</f>
        <v>2280</v>
      </c>
      <c r="N18" s="2">
        <v>1454</v>
      </c>
      <c r="O18" s="2">
        <v>455</v>
      </c>
      <c r="P18" s="2">
        <v>308</v>
      </c>
      <c r="Q18" s="2">
        <f>SUM(N18:P18)</f>
        <v>2217</v>
      </c>
    </row>
    <row r="19" spans="1:17" x14ac:dyDescent="0.25">
      <c r="A19" s="2" t="s">
        <v>17</v>
      </c>
      <c r="B19" s="2">
        <v>29</v>
      </c>
      <c r="C19" s="2">
        <v>324</v>
      </c>
      <c r="D19" s="2">
        <f>SUM(B19:C19)</f>
        <v>353</v>
      </c>
      <c r="E19" s="2">
        <v>26</v>
      </c>
      <c r="F19" s="2">
        <v>314</v>
      </c>
      <c r="G19" s="2">
        <f>SUM(E19:F19)</f>
        <v>340</v>
      </c>
      <c r="K19">
        <v>189</v>
      </c>
      <c r="L19">
        <v>31</v>
      </c>
      <c r="M19">
        <f>SUM(M18,Q18)</f>
        <v>4497</v>
      </c>
      <c r="O19">
        <v>293</v>
      </c>
      <c r="P19">
        <v>15</v>
      </c>
    </row>
    <row r="20" spans="1:17" x14ac:dyDescent="0.25">
      <c r="A20" s="2" t="s">
        <v>19</v>
      </c>
      <c r="B20" s="2">
        <v>36</v>
      </c>
      <c r="C20" s="2">
        <v>305</v>
      </c>
      <c r="D20" s="2">
        <f t="shared" ref="D20:D24" si="3">SUM(B20:C20)</f>
        <v>341</v>
      </c>
      <c r="E20" s="2">
        <v>27</v>
      </c>
      <c r="F20" s="2">
        <v>339</v>
      </c>
      <c r="G20" s="2">
        <f t="shared" ref="G20:G24" si="4">SUM(E20:F20)</f>
        <v>366</v>
      </c>
      <c r="L20">
        <f>SUM(K19:L19)</f>
        <v>220</v>
      </c>
      <c r="P20">
        <f>SUM(O19:P19)</f>
        <v>308</v>
      </c>
    </row>
    <row r="21" spans="1:17" x14ac:dyDescent="0.25">
      <c r="A21" s="2" t="s">
        <v>20</v>
      </c>
      <c r="B21" s="2">
        <v>36</v>
      </c>
      <c r="C21" s="2">
        <v>293</v>
      </c>
      <c r="D21" s="2">
        <f t="shared" si="3"/>
        <v>329</v>
      </c>
      <c r="E21" s="2">
        <v>24</v>
      </c>
      <c r="F21" s="2">
        <v>316</v>
      </c>
      <c r="G21" s="2">
        <f t="shared" si="4"/>
        <v>340</v>
      </c>
    </row>
    <row r="22" spans="1:17" x14ac:dyDescent="0.25">
      <c r="A22" s="2" t="s">
        <v>21</v>
      </c>
      <c r="B22" s="2">
        <v>40</v>
      </c>
      <c r="C22" s="2">
        <v>322</v>
      </c>
      <c r="D22" s="2">
        <f t="shared" si="3"/>
        <v>362</v>
      </c>
      <c r="E22" s="2">
        <v>23</v>
      </c>
      <c r="F22" s="2">
        <v>308</v>
      </c>
      <c r="G22" s="2">
        <f t="shared" si="4"/>
        <v>331</v>
      </c>
    </row>
    <row r="23" spans="1:17" x14ac:dyDescent="0.25">
      <c r="A23" s="2" t="s">
        <v>22</v>
      </c>
      <c r="B23" s="2">
        <v>74</v>
      </c>
      <c r="C23" s="2">
        <v>274</v>
      </c>
      <c r="D23" s="2">
        <f t="shared" si="3"/>
        <v>348</v>
      </c>
      <c r="E23" s="2">
        <v>183</v>
      </c>
      <c r="F23" s="2">
        <v>230</v>
      </c>
      <c r="G23" s="2">
        <f t="shared" si="4"/>
        <v>413</v>
      </c>
    </row>
    <row r="24" spans="1:17" x14ac:dyDescent="0.25">
      <c r="A24" s="2" t="s">
        <v>23</v>
      </c>
      <c r="B24" s="2">
        <v>6</v>
      </c>
      <c r="C24" s="2">
        <v>141</v>
      </c>
      <c r="D24" s="2">
        <f t="shared" si="3"/>
        <v>147</v>
      </c>
      <c r="E24" s="2">
        <v>24</v>
      </c>
      <c r="F24" s="2">
        <v>95</v>
      </c>
      <c r="G24" s="2">
        <f t="shared" si="4"/>
        <v>119</v>
      </c>
    </row>
    <row r="25" spans="1:17" x14ac:dyDescent="0.25">
      <c r="A25" s="2"/>
      <c r="B25" s="2">
        <f t="shared" ref="B25" si="5">SUM(B18:B24)</f>
        <v>236</v>
      </c>
      <c r="C25" s="2">
        <f t="shared" ref="C25" si="6">SUM(C18:C24)</f>
        <v>2044</v>
      </c>
      <c r="D25" s="2">
        <f t="shared" ref="D25" si="7">SUM(D18:D24)</f>
        <v>2280</v>
      </c>
      <c r="E25" s="2">
        <f t="shared" ref="E25" si="8">SUM(E18:E24)</f>
        <v>328</v>
      </c>
      <c r="F25" s="2">
        <f t="shared" ref="F25" si="9">SUM(F18:F24)</f>
        <v>1889</v>
      </c>
      <c r="G25" s="2">
        <f t="shared" ref="G25" si="10">SUM(G18:G24)</f>
        <v>2217</v>
      </c>
      <c r="H25" s="4">
        <f>G25-Q18</f>
        <v>0</v>
      </c>
    </row>
    <row r="26" spans="1:17" x14ac:dyDescent="0.25">
      <c r="D26" s="4">
        <f>D25-M18</f>
        <v>0</v>
      </c>
    </row>
  </sheetData>
  <mergeCells count="8">
    <mergeCell ref="E2:G2"/>
    <mergeCell ref="B2:D2"/>
    <mergeCell ref="J2:M2"/>
    <mergeCell ref="N2:Q2"/>
    <mergeCell ref="B16:D16"/>
    <mergeCell ref="E16:G16"/>
    <mergeCell ref="J16:M16"/>
    <mergeCell ref="N16:Q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Garza</dc:creator>
  <cp:lastModifiedBy>James Garza</cp:lastModifiedBy>
  <dcterms:created xsi:type="dcterms:W3CDTF">2025-12-08T14:04:34Z</dcterms:created>
  <dcterms:modified xsi:type="dcterms:W3CDTF">2025-12-10T21:14:14Z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a5462491-4a72-49f4-963e-a2d460f049d4</vt:lpwstr>
  </property>
</Properties>
</file>